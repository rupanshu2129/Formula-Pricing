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aaron_perez_cargill_com/Documents/"/>
    </mc:Choice>
  </mc:AlternateContent>
  <xr:revisionPtr revIDLastSave="117" documentId="8_{0F74690E-4CCB-0646-A34D-C3CF37DAE9A8}" xr6:coauthVersionLast="47" xr6:coauthVersionMax="47" xr10:uidLastSave="{3D201EC6-F230-44BB-82B7-2F6FB6672C78}"/>
  <bookViews>
    <workbookView xWindow="0" yWindow="760" windowWidth="25000" windowHeight="19880" firstSheet="6" activeTab="6" xr2:uid="{00000000-000D-0000-FFFF-FFFF00000000}"/>
  </bookViews>
  <sheets>
    <sheet name="README" sheetId="1" r:id="rId1"/>
    <sheet name="Run_Context" sheetId="2" r:id="rId2"/>
    <sheet name="Market_Backup" sheetId="3" r:id="rId3"/>
    <sheet name="Pricing_Summary" sheetId="4" r:id="rId4"/>
    <sheet name="Payment_Terms" sheetId="5" r:id="rId5"/>
    <sheet name="Freight_Table" sheetId="10" r:id="rId6"/>
    <sheet name="Material_A_Pricing" sheetId="6" r:id="rId7"/>
    <sheet name="Material_B_Pricing" sheetId="7" r:id="rId8"/>
    <sheet name="Pricing_Results" sheetId="8" r:id="rId9"/>
    <sheet name="SAP_Output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9" i="7"/>
  <c r="C9" i="7"/>
  <c r="C9" i="6"/>
  <c r="E9" i="6" s="1"/>
  <c r="E11" i="7"/>
  <c r="C11" i="7"/>
  <c r="C11" i="6"/>
  <c r="A3" i="9"/>
  <c r="A2" i="9"/>
  <c r="C15" i="7"/>
  <c r="E15" i="7" s="1"/>
  <c r="E8" i="7"/>
  <c r="E4" i="7"/>
  <c r="C15" i="6"/>
  <c r="E15" i="6" s="1"/>
  <c r="E4" i="6"/>
  <c r="D3" i="4"/>
  <c r="C3" i="4"/>
  <c r="E3" i="6" s="1"/>
  <c r="D2" i="4"/>
  <c r="C17" i="7" s="1"/>
  <c r="C2" i="4"/>
  <c r="C16" i="6" s="1"/>
  <c r="C17" i="6" l="1"/>
  <c r="E2" i="7"/>
  <c r="E3" i="7"/>
  <c r="C16" i="7"/>
  <c r="E2" i="6"/>
  <c r="E5" i="6" s="1"/>
  <c r="C2" i="8" l="1"/>
  <c r="E7" i="6"/>
  <c r="E10" i="6" s="1"/>
  <c r="E11" i="6" s="1"/>
  <c r="E5" i="7"/>
  <c r="D2" i="8" l="1"/>
  <c r="C3" i="8"/>
  <c r="E7" i="7"/>
  <c r="D3" i="8" l="1"/>
  <c r="E10" i="7"/>
  <c r="E12" i="6"/>
  <c r="B2" i="8" s="1"/>
  <c r="E2" i="9" s="1"/>
  <c r="E12" i="7" l="1"/>
  <c r="B3" i="8" s="1"/>
  <c r="E3" i="9" s="1"/>
</calcChain>
</file>

<file path=xl/sharedStrings.xml><?xml version="1.0" encoding="utf-8"?>
<sst xmlns="http://schemas.openxmlformats.org/spreadsheetml/2006/main" count="203" uniqueCount="100">
  <si>
    <t>VAP Formula Pricing – Reference Flow (Scenario 1)</t>
  </si>
  <si>
    <t>Purpose</t>
  </si>
  <si>
    <t>This workbook is a simplified, readable reference of the current Excel-based formula pricing execution flow (monthly, multiple materials).</t>
  </si>
  <si>
    <t>How to use</t>
  </si>
  <si>
    <t>1) Start at Run_Context (defines customer + period + materials)</t>
  </si>
  <si>
    <t>2) Market_Backup holds daily market time series (user-populated)</t>
  </si>
  <si>
    <t>3) Pricing_Summary computes period averages + as-of timestamp</t>
  </si>
  <si>
    <t>4) Payment_Terms contains rate-based adders</t>
  </si>
  <si>
    <t>5) Freight adders are maintained in Freight_Table and pulled into Material pricing tabs via Plant from Run_Context.</t>
  </si>
  <si>
    <t>6) Material_A_Pricing / Material_B_Pricing show line-level build to FOB</t>
  </si>
  <si>
    <t>7) Pricing_Results consolidates outputs</t>
  </si>
  <si>
    <t>8) SAP_Output shapes outputs for upload templates (optional)</t>
  </si>
  <si>
    <t>Notes</t>
  </si>
  <si>
    <t>• Numbers are illustrative only (not business-valid).</t>
  </si>
  <si>
    <t>• Formulas demonstrate dependency structure (what pulls from where).</t>
  </si>
  <si>
    <t>Color key (for reference tabs)</t>
  </si>
  <si>
    <t>Green = user / governed input; Gray = system populated (markets/config); Purple = system calculated.</t>
  </si>
  <si>
    <t>Customer</t>
  </si>
  <si>
    <t>Pricing Period</t>
  </si>
  <si>
    <t>Pricing Basis (Order/Delivery)</t>
  </si>
  <si>
    <t>Currency</t>
  </si>
  <si>
    <t>Materials in Scope</t>
  </si>
  <si>
    <t>Plants (optional)</t>
  </si>
  <si>
    <t>Run Notes</t>
  </si>
  <si>
    <t>Legend</t>
  </si>
  <si>
    <t>General Mills</t>
  </si>
  <si>
    <t>May 2025</t>
  </si>
  <si>
    <t>Order</t>
  </si>
  <si>
    <t>USD</t>
  </si>
  <si>
    <t>MAT-A; MAT-B</t>
  </si>
  <si>
    <t>Scenario 1 reference run (illustrative)</t>
  </si>
  <si>
    <t>User input</t>
  </si>
  <si>
    <t>System populated</t>
  </si>
  <si>
    <t>System calculated</t>
  </si>
  <si>
    <t>Date</t>
  </si>
  <si>
    <t>Beef Index A (USDA)</t>
  </si>
  <si>
    <t>Beef Index B (Urner Barry)</t>
  </si>
  <si>
    <t>&lt;-let's assume user copies and pastes this in</t>
  </si>
  <si>
    <t>Market Series</t>
  </si>
  <si>
    <t>Averaging Window</t>
  </si>
  <si>
    <t>Period Average</t>
  </si>
  <si>
    <t>As-of Date</t>
  </si>
  <si>
    <t>Beef Index A</t>
  </si>
  <si>
    <t>2025-04-25 to 2025-05-24</t>
  </si>
  <si>
    <t>Beef Index B</t>
  </si>
  <si>
    <t>Payment Terms Code</t>
  </si>
  <si>
    <t>Rate (%)</t>
  </si>
  <si>
    <t>Effective Start Date</t>
  </si>
  <si>
    <t>Effective End Date</t>
  </si>
  <si>
    <t>NET30</t>
  </si>
  <si>
    <t>NET15</t>
  </si>
  <si>
    <t>Plant</t>
  </si>
  <si>
    <t>Lane / Zone (optional)</t>
  </si>
  <si>
    <t>Freight per lb</t>
  </si>
  <si>
    <t>Effective Start</t>
  </si>
  <si>
    <t>Effective End</t>
  </si>
  <si>
    <t>Plant A</t>
  </si>
  <si>
    <t>Default</t>
  </si>
  <si>
    <t>2025-05-01</t>
  </si>
  <si>
    <t>2025-05-31</t>
  </si>
  <si>
    <t>Plant B</t>
  </si>
  <si>
    <t>Component</t>
  </si>
  <si>
    <t>Factor Type</t>
  </si>
  <si>
    <t>Factor Value</t>
  </si>
  <si>
    <t>Market Reference</t>
  </si>
  <si>
    <t>Calculated Cost</t>
  </si>
  <si>
    <t>Recipe %</t>
  </si>
  <si>
    <t>Pricing_Summary!C2</t>
  </si>
  <si>
    <t>Pricing_Summary!C3</t>
  </si>
  <si>
    <t>Other Ingredients</t>
  </si>
  <si>
    <t>-</t>
  </si>
  <si>
    <t>Pre-yield subtotal</t>
  </si>
  <si>
    <t>CALC</t>
  </si>
  <si>
    <t>Yield</t>
  </si>
  <si>
    <t>Yield divisor</t>
  </si>
  <si>
    <t>Post-yield subtotal</t>
  </si>
  <si>
    <t>Packaging</t>
  </si>
  <si>
    <t>Adder</t>
  </si>
  <si>
    <t>Freight</t>
  </si>
  <si>
    <t>FOB Price (pre terms)</t>
  </si>
  <si>
    <t>Payment Terms</t>
  </si>
  <si>
    <t>Rate</t>
  </si>
  <si>
    <t>FOB Price (final)</t>
  </si>
  <si>
    <t>Validation checks</t>
  </si>
  <si>
    <t>Recipe % total</t>
  </si>
  <si>
    <t>Market averages present</t>
  </si>
  <si>
    <t>As-of date stamped</t>
  </si>
  <si>
    <t>RM / Beef Index A</t>
  </si>
  <si>
    <t>RM / Beef Index B</t>
  </si>
  <si>
    <t>Material</t>
  </si>
  <si>
    <t>FOB Price</t>
  </si>
  <si>
    <t>Pre-Yield Subtotal</t>
  </si>
  <si>
    <t>Post-Yield Subtotal</t>
  </si>
  <si>
    <t>MAT-A</t>
  </si>
  <si>
    <t>Illustrative</t>
  </si>
  <si>
    <t>MAT-B</t>
  </si>
  <si>
    <t>Valid From</t>
  </si>
  <si>
    <t>Valid To</t>
  </si>
  <si>
    <t>Condition Rate</t>
  </si>
  <si>
    <t>Pricing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</si>
</sst>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\-mm\-dd"/>
    <numFmt numFmtId="165" formatCode="0.0%"/>
    <numFmt numFmtId="166" formatCode="yyyy\-mm\-dd;@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DCF8"/>
      </patternFill>
    </fill>
    <fill>
      <patternFill patternType="solid">
        <fgColor rgb="FFE3F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4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8" fontId="0" fillId="5" borderId="0" xfId="0" applyNumberFormat="1" applyFill="1" applyAlignment="1">
      <alignment horizontal="center"/>
    </xf>
    <xf numFmtId="8" fontId="1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8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3F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A15" sqref="A15"/>
    </sheetView>
  </sheetViews>
  <sheetFormatPr defaultColWidth="8.85546875" defaultRowHeight="15"/>
  <cols>
    <col min="1" max="1" width="110" customWidth="1"/>
  </cols>
  <sheetData>
    <row r="1" spans="1:1" ht="18" customHeight="1">
      <c r="A1" s="2" t="s">
        <v>0</v>
      </c>
    </row>
    <row r="2" spans="1:1" ht="18" customHeight="1"/>
    <row r="3" spans="1:1" ht="18" customHeight="1">
      <c r="A3" s="1" t="s">
        <v>1</v>
      </c>
    </row>
    <row r="4" spans="1:1" ht="18" customHeight="1">
      <c r="A4" t="s">
        <v>2</v>
      </c>
    </row>
    <row r="5" spans="1:1" ht="18" customHeight="1"/>
    <row r="6" spans="1:1" ht="18" customHeight="1">
      <c r="A6" s="1" t="s">
        <v>3</v>
      </c>
    </row>
    <row r="7" spans="1:1" ht="18" customHeight="1">
      <c r="A7" t="s">
        <v>4</v>
      </c>
    </row>
    <row r="8" spans="1:1" ht="18" customHeight="1">
      <c r="A8" t="s">
        <v>5</v>
      </c>
    </row>
    <row r="9" spans="1:1" ht="18" customHeight="1">
      <c r="A9" t="s">
        <v>6</v>
      </c>
    </row>
    <row r="10" spans="1:1" ht="18" customHeight="1">
      <c r="A10" t="s">
        <v>7</v>
      </c>
    </row>
    <row r="11" spans="1:1" ht="18" customHeight="1">
      <c r="A11" s="4" t="s">
        <v>8</v>
      </c>
    </row>
    <row r="12" spans="1:1" ht="18" customHeight="1">
      <c r="A12" t="s">
        <v>9</v>
      </c>
    </row>
    <row r="13" spans="1:1" ht="18" customHeight="1">
      <c r="A13" t="s">
        <v>10</v>
      </c>
    </row>
    <row r="14" spans="1:1" ht="18" customHeight="1">
      <c r="A14" t="s">
        <v>11</v>
      </c>
    </row>
    <row r="15" spans="1:1" ht="18" customHeight="1"/>
    <row r="16" spans="1:1" ht="18" customHeight="1">
      <c r="A16" s="1" t="s">
        <v>12</v>
      </c>
    </row>
    <row r="17" spans="1:1" ht="18" customHeight="1">
      <c r="A17" t="s">
        <v>13</v>
      </c>
    </row>
    <row r="18" spans="1:1" ht="18" customHeight="1">
      <c r="A18" t="s">
        <v>14</v>
      </c>
    </row>
    <row r="20" spans="1:1">
      <c r="A20" s="1" t="s">
        <v>15</v>
      </c>
    </row>
    <row r="21" spans="1:1" ht="15.95">
      <c r="A21" s="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6" style="13" customWidth="1"/>
    <col min="2" max="2" width="18" style="13" customWidth="1"/>
    <col min="3" max="3" width="34" style="13" customWidth="1"/>
    <col min="4" max="4" width="16" style="13" customWidth="1"/>
    <col min="5" max="5" width="22" style="13" customWidth="1"/>
    <col min="6" max="6" width="21" style="13" customWidth="1"/>
    <col min="7" max="7" width="29.28515625" style="13" bestFit="1" customWidth="1"/>
    <col min="9" max="9" width="18" customWidth="1"/>
    <col min="10" max="10" width="13" customWidth="1"/>
  </cols>
  <sheetData>
    <row r="1" spans="1:10" ht="27.95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I1" s="33" t="s">
        <v>24</v>
      </c>
      <c r="J1" s="36"/>
    </row>
    <row r="2" spans="1:10">
      <c r="A2" s="18" t="s">
        <v>25</v>
      </c>
      <c r="B2" s="18" t="s">
        <v>26</v>
      </c>
      <c r="C2" s="18" t="s">
        <v>27</v>
      </c>
      <c r="D2" s="18" t="s">
        <v>28</v>
      </c>
      <c r="E2" s="18" t="s">
        <v>29</v>
      </c>
      <c r="F2" s="18"/>
      <c r="G2" s="18" t="s">
        <v>30</v>
      </c>
      <c r="I2" s="6" t="s">
        <v>31</v>
      </c>
      <c r="J2" s="5"/>
    </row>
    <row r="3" spans="1:10">
      <c r="I3" s="6" t="s">
        <v>32</v>
      </c>
      <c r="J3" s="7"/>
    </row>
    <row r="4" spans="1:10">
      <c r="I4" s="6" t="s">
        <v>33</v>
      </c>
      <c r="J4" s="8"/>
    </row>
  </sheetData>
  <mergeCells count="1"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6" activePane="bottomLeft" state="frozen"/>
      <selection pane="bottomLeft" activeCell="C15" sqref="C15"/>
    </sheetView>
  </sheetViews>
  <sheetFormatPr defaultColWidth="8.85546875" defaultRowHeight="15"/>
  <cols>
    <col min="1" max="1" width="16" style="13" customWidth="1"/>
    <col min="2" max="2" width="23" style="13" customWidth="1"/>
    <col min="3" max="3" width="30" style="13" customWidth="1"/>
    <col min="5" max="5" width="18" customWidth="1"/>
    <col min="6" max="6" width="13" customWidth="1"/>
  </cols>
  <sheetData>
    <row r="1" spans="1:7" ht="27.95" customHeight="1">
      <c r="A1" s="3" t="s">
        <v>34</v>
      </c>
      <c r="B1" s="3" t="s">
        <v>35</v>
      </c>
      <c r="C1" s="3" t="s">
        <v>36</v>
      </c>
      <c r="E1" s="33" t="s">
        <v>24</v>
      </c>
      <c r="F1" s="36"/>
    </row>
    <row r="2" spans="1:7">
      <c r="A2" s="28">
        <v>45772</v>
      </c>
      <c r="B2" s="29">
        <v>2.7894000000000001</v>
      </c>
      <c r="C2" s="29">
        <v>3.1221000000000001</v>
      </c>
      <c r="E2" s="6" t="s">
        <v>31</v>
      </c>
      <c r="F2" s="5"/>
      <c r="G2" t="s">
        <v>37</v>
      </c>
    </row>
    <row r="3" spans="1:7">
      <c r="A3" s="28">
        <v>45773</v>
      </c>
      <c r="B3" s="29">
        <v>2.7985000000000002</v>
      </c>
      <c r="C3" s="29">
        <v>3.0878999999999999</v>
      </c>
      <c r="E3" s="6" t="s">
        <v>32</v>
      </c>
      <c r="F3" s="7"/>
    </row>
    <row r="4" spans="1:7">
      <c r="A4" s="28">
        <v>45774</v>
      </c>
      <c r="B4" s="29">
        <v>2.8006000000000002</v>
      </c>
      <c r="C4" s="29">
        <v>3.0771000000000002</v>
      </c>
      <c r="E4" s="6" t="s">
        <v>33</v>
      </c>
      <c r="F4" s="8"/>
    </row>
    <row r="5" spans="1:7">
      <c r="A5" s="28">
        <v>45775</v>
      </c>
      <c r="B5" s="29">
        <v>2.7740999999999998</v>
      </c>
      <c r="C5" s="29">
        <v>3.0777000000000001</v>
      </c>
    </row>
    <row r="6" spans="1:7">
      <c r="A6" s="28">
        <v>45776</v>
      </c>
      <c r="B6" s="29">
        <v>2.7464</v>
      </c>
      <c r="C6" s="29">
        <v>3.0724</v>
      </c>
    </row>
    <row r="7" spans="1:7">
      <c r="A7" s="28">
        <v>45777</v>
      </c>
      <c r="B7" s="29">
        <v>2.7206000000000001</v>
      </c>
      <c r="C7" s="29">
        <v>3.0396999999999998</v>
      </c>
    </row>
    <row r="8" spans="1:7">
      <c r="A8" s="28">
        <v>45778</v>
      </c>
      <c r="B8" s="29">
        <v>2.7160000000000002</v>
      </c>
      <c r="C8" s="29">
        <v>3.0657999999999999</v>
      </c>
    </row>
    <row r="9" spans="1:7">
      <c r="A9" s="28">
        <v>45779</v>
      </c>
      <c r="B9" s="29">
        <v>2.6934999999999998</v>
      </c>
      <c r="C9" s="29">
        <v>3.0436999999999999</v>
      </c>
    </row>
    <row r="10" spans="1:7">
      <c r="A10" s="28">
        <v>45780</v>
      </c>
      <c r="B10" s="29">
        <v>2.7010999999999998</v>
      </c>
      <c r="C10" s="29">
        <v>3.0794999999999999</v>
      </c>
    </row>
    <row r="11" spans="1:7">
      <c r="A11" s="28">
        <v>45781</v>
      </c>
      <c r="B11" s="29">
        <v>2.7057000000000002</v>
      </c>
      <c r="C11" s="29">
        <v>3.0712000000000002</v>
      </c>
    </row>
    <row r="12" spans="1:7">
      <c r="A12" s="28">
        <v>45782</v>
      </c>
      <c r="B12" s="29">
        <v>2.7343000000000002</v>
      </c>
      <c r="C12" s="29">
        <v>3.0348999999999999</v>
      </c>
    </row>
    <row r="13" spans="1:7">
      <c r="A13" s="28">
        <v>45783</v>
      </c>
      <c r="B13" s="29">
        <v>2.7557999999999998</v>
      </c>
      <c r="C13" s="29">
        <v>3.0181</v>
      </c>
    </row>
    <row r="14" spans="1:7">
      <c r="A14" s="28">
        <v>45784</v>
      </c>
      <c r="B14" s="29">
        <v>2.7345000000000002</v>
      </c>
      <c r="C14" s="29">
        <v>2.9874999999999998</v>
      </c>
    </row>
    <row r="15" spans="1:7">
      <c r="A15" s="28">
        <v>45785</v>
      </c>
      <c r="B15" s="29">
        <v>2.7229999999999999</v>
      </c>
      <c r="C15" s="29">
        <v>3.0127999999999999</v>
      </c>
    </row>
    <row r="16" spans="1:7">
      <c r="A16" s="28">
        <v>45786</v>
      </c>
      <c r="B16" s="29">
        <v>2.7038000000000002</v>
      </c>
      <c r="C16" s="29">
        <v>3.0194000000000001</v>
      </c>
    </row>
    <row r="17" spans="1:3">
      <c r="A17" s="28">
        <v>45787</v>
      </c>
      <c r="B17" s="29">
        <v>2.7122000000000002</v>
      </c>
      <c r="C17" s="29">
        <v>3.0091000000000001</v>
      </c>
    </row>
    <row r="18" spans="1:3">
      <c r="A18" s="28">
        <v>45788</v>
      </c>
      <c r="B18" s="29">
        <v>2.7149999999999999</v>
      </c>
      <c r="C18" s="29">
        <v>2.9742000000000002</v>
      </c>
    </row>
    <row r="19" spans="1:3">
      <c r="A19" s="28">
        <v>45789</v>
      </c>
      <c r="B19" s="29">
        <v>2.6886000000000001</v>
      </c>
      <c r="C19" s="29">
        <v>2.9506000000000001</v>
      </c>
    </row>
    <row r="20" spans="1:3">
      <c r="A20" s="28">
        <v>45790</v>
      </c>
      <c r="B20" s="29">
        <v>2.6993999999999998</v>
      </c>
      <c r="C20" s="29">
        <v>2.9449000000000001</v>
      </c>
    </row>
    <row r="21" spans="1:3">
      <c r="A21" s="28">
        <v>45791</v>
      </c>
      <c r="B21" s="29">
        <v>2.6882999999999999</v>
      </c>
      <c r="C21" s="29">
        <v>2.9517000000000002</v>
      </c>
    </row>
    <row r="22" spans="1:3">
      <c r="A22" s="28">
        <v>45792</v>
      </c>
      <c r="B22" s="29">
        <v>2.6855000000000002</v>
      </c>
      <c r="C22" s="29">
        <v>2.9357000000000002</v>
      </c>
    </row>
    <row r="23" spans="1:3">
      <c r="A23" s="28">
        <v>45793</v>
      </c>
      <c r="B23" s="29">
        <v>2.7031000000000001</v>
      </c>
      <c r="C23" s="29">
        <v>2.9516</v>
      </c>
    </row>
    <row r="24" spans="1:3">
      <c r="A24" s="28">
        <v>45794</v>
      </c>
      <c r="B24" s="29">
        <v>2.6878000000000002</v>
      </c>
      <c r="C24" s="29">
        <v>2.9575999999999998</v>
      </c>
    </row>
    <row r="25" spans="1:3">
      <c r="A25" s="28">
        <v>45795</v>
      </c>
      <c r="B25" s="29">
        <v>2.6892999999999998</v>
      </c>
      <c r="C25" s="29">
        <v>2.9876</v>
      </c>
    </row>
    <row r="26" spans="1:3">
      <c r="A26" s="28">
        <v>45796</v>
      </c>
      <c r="B26" s="29">
        <v>2.7029999999999998</v>
      </c>
      <c r="C26" s="29">
        <v>2.9706000000000001</v>
      </c>
    </row>
    <row r="27" spans="1:3">
      <c r="A27" s="28">
        <v>45797</v>
      </c>
      <c r="B27" s="29">
        <v>2.7319</v>
      </c>
      <c r="C27" s="29">
        <v>2.94</v>
      </c>
    </row>
    <row r="28" spans="1:3">
      <c r="A28" s="28">
        <v>45798</v>
      </c>
      <c r="B28" s="29">
        <v>2.7269000000000001</v>
      </c>
      <c r="C28" s="29">
        <v>2.9605999999999999</v>
      </c>
    </row>
    <row r="29" spans="1:3">
      <c r="A29" s="28">
        <v>45799</v>
      </c>
      <c r="B29" s="29">
        <v>2.7061000000000002</v>
      </c>
      <c r="C29" s="29">
        <v>2.9597000000000002</v>
      </c>
    </row>
    <row r="30" spans="1:3">
      <c r="A30" s="28">
        <v>45800</v>
      </c>
      <c r="B30" s="29">
        <v>2.6783999999999999</v>
      </c>
      <c r="C30" s="29">
        <v>2.9731999999999998</v>
      </c>
    </row>
    <row r="31" spans="1:3">
      <c r="A31" s="28">
        <v>45801</v>
      </c>
      <c r="B31" s="29">
        <v>2.6943000000000001</v>
      </c>
      <c r="C31" s="29">
        <v>2.9790000000000001</v>
      </c>
    </row>
  </sheetData>
  <mergeCells count="1"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 activeCell="D2" sqref="D2:D3"/>
    </sheetView>
  </sheetViews>
  <sheetFormatPr defaultColWidth="8.85546875" defaultRowHeight="15"/>
  <cols>
    <col min="1" max="1" width="17" style="13" customWidth="1"/>
    <col min="2" max="2" width="24" style="13" customWidth="1"/>
    <col min="3" max="3" width="18" style="13" customWidth="1"/>
    <col min="4" max="4" width="16" style="13" customWidth="1"/>
    <col min="6" max="6" width="18" customWidth="1"/>
    <col min="7" max="7" width="13" customWidth="1"/>
  </cols>
  <sheetData>
    <row r="1" spans="1:7" ht="27.95" customHeight="1">
      <c r="A1" s="3" t="s">
        <v>38</v>
      </c>
      <c r="B1" s="3" t="s">
        <v>39</v>
      </c>
      <c r="C1" s="3" t="s">
        <v>40</v>
      </c>
      <c r="D1" s="3" t="s">
        <v>41</v>
      </c>
      <c r="F1" s="33" t="s">
        <v>24</v>
      </c>
      <c r="G1" s="36"/>
    </row>
    <row r="2" spans="1:7">
      <c r="A2" s="14" t="s">
        <v>42</v>
      </c>
      <c r="B2" s="14" t="s">
        <v>43</v>
      </c>
      <c r="C2" s="12">
        <f>AVERAGEIFS(Market_Backup!B:B,Market_Backup!A:A,"&gt;="&amp;DATE(2025,4,25),Market_Backup!A:A,"&lt;="&amp;DATE(2025,5,24))</f>
        <v>2.7202366666666666</v>
      </c>
      <c r="D2" s="17">
        <f>MAX(Market_Backup!A:A)</f>
        <v>45801</v>
      </c>
      <c r="F2" s="6" t="s">
        <v>31</v>
      </c>
      <c r="G2" s="5"/>
    </row>
    <row r="3" spans="1:7">
      <c r="A3" s="14" t="s">
        <v>44</v>
      </c>
      <c r="B3" s="14" t="s">
        <v>43</v>
      </c>
      <c r="C3" s="12">
        <f>AVERAGEIFS(Market_Backup!C:C,Market_Backup!A:A,"&gt;="&amp;DATE(2025,4,25),Market_Backup!A:A,"&lt;="&amp;DATE(2025,5,24))</f>
        <v>3.0085299999999999</v>
      </c>
      <c r="D3" s="17">
        <f>MAX(Market_Backup!A:A)</f>
        <v>45801</v>
      </c>
      <c r="F3" s="6" t="s">
        <v>32</v>
      </c>
      <c r="G3" s="7"/>
    </row>
    <row r="4" spans="1:7">
      <c r="F4" s="6" t="s">
        <v>33</v>
      </c>
      <c r="G4" s="8"/>
    </row>
  </sheetData>
  <mergeCells count="1"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E42" activePane="bottomLeft" state="frozen"/>
      <selection pane="bottomLeft" activeCell="E42" sqref="E42"/>
    </sheetView>
  </sheetViews>
  <sheetFormatPr defaultColWidth="8.85546875" defaultRowHeight="15"/>
  <cols>
    <col min="1" max="1" width="22" style="13" customWidth="1"/>
    <col min="2" max="2" width="16" style="13" customWidth="1"/>
    <col min="3" max="3" width="24" style="13" customWidth="1"/>
    <col min="4" max="4" width="22" style="13" customWidth="1"/>
    <col min="6" max="6" width="18" customWidth="1"/>
    <col min="7" max="7" width="13" customWidth="1"/>
  </cols>
  <sheetData>
    <row r="1" spans="1:7" ht="27.95" customHeight="1">
      <c r="A1" s="3" t="s">
        <v>45</v>
      </c>
      <c r="B1" s="3" t="s">
        <v>46</v>
      </c>
      <c r="C1" s="3" t="s">
        <v>47</v>
      </c>
      <c r="D1" s="3" t="s">
        <v>48</v>
      </c>
      <c r="F1" s="33" t="s">
        <v>24</v>
      </c>
      <c r="G1" s="36"/>
    </row>
    <row r="2" spans="1:7">
      <c r="A2" s="18" t="s">
        <v>49</v>
      </c>
      <c r="B2" s="15">
        <v>2.52E-2</v>
      </c>
      <c r="C2" s="16">
        <v>45658</v>
      </c>
      <c r="D2" s="16">
        <v>46022</v>
      </c>
      <c r="F2" s="6" t="s">
        <v>31</v>
      </c>
      <c r="G2" s="5"/>
    </row>
    <row r="3" spans="1:7">
      <c r="A3" s="18" t="s">
        <v>50</v>
      </c>
      <c r="B3" s="15">
        <v>1.7999999999999999E-2</v>
      </c>
      <c r="C3" s="16">
        <v>45658</v>
      </c>
      <c r="D3" s="16">
        <v>46022</v>
      </c>
      <c r="F3" s="6" t="s">
        <v>32</v>
      </c>
      <c r="G3" s="7"/>
    </row>
    <row r="4" spans="1:7">
      <c r="F4" s="6" t="s">
        <v>33</v>
      </c>
      <c r="G4" s="8"/>
    </row>
  </sheetData>
  <mergeCells count="1"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3D29-615A-3048-B811-1A20AE4D4F64}">
  <dimension ref="A1:I4"/>
  <sheetViews>
    <sheetView workbookViewId="0">
      <selection activeCell="D2" sqref="D2:D3"/>
    </sheetView>
  </sheetViews>
  <sheetFormatPr defaultColWidth="8.85546875" defaultRowHeight="15"/>
  <cols>
    <col min="1" max="1" width="18" style="13" customWidth="1"/>
    <col min="2" max="2" width="14" style="13" customWidth="1"/>
    <col min="3" max="3" width="20" style="13" customWidth="1"/>
    <col min="4" max="6" width="14" style="13" customWidth="1"/>
    <col min="8" max="8" width="18" customWidth="1"/>
    <col min="9" max="9" width="10" customWidth="1"/>
  </cols>
  <sheetData>
    <row r="1" spans="1:9" ht="15.95">
      <c r="A1" s="3" t="s">
        <v>17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H1" s="33" t="s">
        <v>24</v>
      </c>
      <c r="I1" s="36"/>
    </row>
    <row r="2" spans="1:9" ht="15.95">
      <c r="A2" s="27" t="s">
        <v>25</v>
      </c>
      <c r="B2" s="27" t="s">
        <v>56</v>
      </c>
      <c r="C2" s="27" t="s">
        <v>57</v>
      </c>
      <c r="D2" s="32">
        <v>0.09</v>
      </c>
      <c r="E2" s="30" t="s">
        <v>58</v>
      </c>
      <c r="F2" s="30" t="s">
        <v>59</v>
      </c>
      <c r="H2" s="6" t="s">
        <v>31</v>
      </c>
      <c r="I2" s="5"/>
    </row>
    <row r="3" spans="1:9" ht="15.95">
      <c r="A3" s="27" t="s">
        <v>25</v>
      </c>
      <c r="B3" s="27" t="s">
        <v>60</v>
      </c>
      <c r="C3" s="27" t="s">
        <v>57</v>
      </c>
      <c r="D3" s="32">
        <v>0.11</v>
      </c>
      <c r="E3" s="30" t="s">
        <v>58</v>
      </c>
      <c r="F3" s="30" t="s">
        <v>59</v>
      </c>
      <c r="H3" s="6" t="s">
        <v>32</v>
      </c>
      <c r="I3" s="7"/>
    </row>
    <row r="4" spans="1:9">
      <c r="H4" s="6" t="s">
        <v>33</v>
      </c>
      <c r="I4" s="8"/>
    </row>
  </sheetData>
  <mergeCells count="1"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8.85546875" defaultRowHeight="15"/>
  <cols>
    <col min="1" max="1" width="26" customWidth="1"/>
    <col min="2" max="2" width="14" style="13" customWidth="1"/>
    <col min="3" max="3" width="14" customWidth="1"/>
    <col min="4" max="4" width="22" style="13" customWidth="1"/>
    <col min="5" max="5" width="18" customWidth="1"/>
    <col min="7" max="7" width="18" customWidth="1"/>
    <col min="8" max="8" width="13" customWidth="1"/>
  </cols>
  <sheetData>
    <row r="1" spans="1:8" ht="27.95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G1" s="33" t="s">
        <v>24</v>
      </c>
      <c r="H1" s="36"/>
    </row>
    <row r="2" spans="1:8">
      <c r="A2" s="7" t="s">
        <v>42</v>
      </c>
      <c r="B2" s="14" t="s">
        <v>66</v>
      </c>
      <c r="C2" s="19">
        <v>0.4425</v>
      </c>
      <c r="D2" s="14" t="s">
        <v>67</v>
      </c>
      <c r="E2" s="21">
        <f>0.4425*Pricing_Summary!C2</f>
        <v>1.2037047249999999</v>
      </c>
      <c r="G2" s="6" t="s">
        <v>31</v>
      </c>
      <c r="H2" s="5"/>
    </row>
    <row r="3" spans="1:8">
      <c r="A3" s="7" t="s">
        <v>44</v>
      </c>
      <c r="B3" s="14" t="s">
        <v>66</v>
      </c>
      <c r="C3" s="19">
        <v>0.44550000000000001</v>
      </c>
      <c r="D3" s="14" t="s">
        <v>68</v>
      </c>
      <c r="E3" s="21">
        <f>0.4455*Pricing_Summary!C3</f>
        <v>1.340300115</v>
      </c>
      <c r="G3" s="6" t="s">
        <v>32</v>
      </c>
      <c r="H3" s="7"/>
    </row>
    <row r="4" spans="1:8">
      <c r="A4" s="7" t="s">
        <v>69</v>
      </c>
      <c r="B4" s="14" t="s">
        <v>66</v>
      </c>
      <c r="C4" s="19">
        <v>4.2000000000000003E-2</v>
      </c>
      <c r="D4" s="14" t="s">
        <v>70</v>
      </c>
      <c r="E4" s="21">
        <f>0.042*0.9</f>
        <v>3.78E-2</v>
      </c>
      <c r="G4" s="6" t="s">
        <v>33</v>
      </c>
      <c r="H4" s="8"/>
    </row>
    <row r="5" spans="1:8">
      <c r="A5" s="9" t="s">
        <v>71</v>
      </c>
      <c r="B5" s="14" t="s">
        <v>72</v>
      </c>
      <c r="C5" s="20"/>
      <c r="D5" s="14" t="s">
        <v>70</v>
      </c>
      <c r="E5" s="22">
        <f>SUM(E2:E4)</f>
        <v>2.5818048399999998</v>
      </c>
    </row>
    <row r="6" spans="1:8">
      <c r="A6" s="7" t="s">
        <v>73</v>
      </c>
      <c r="B6" s="14" t="s">
        <v>74</v>
      </c>
      <c r="C6" s="19">
        <v>0.63</v>
      </c>
      <c r="D6" s="14" t="s">
        <v>70</v>
      </c>
      <c r="E6" s="21"/>
    </row>
    <row r="7" spans="1:8">
      <c r="A7" s="9" t="s">
        <v>75</v>
      </c>
      <c r="B7" s="14" t="s">
        <v>72</v>
      </c>
      <c r="C7" s="20"/>
      <c r="D7" s="14" t="s">
        <v>70</v>
      </c>
      <c r="E7" s="22">
        <f>E5/0.63</f>
        <v>4.0981029206349202</v>
      </c>
    </row>
    <row r="8" spans="1:8">
      <c r="A8" s="7" t="s">
        <v>76</v>
      </c>
      <c r="B8" s="14" t="s">
        <v>77</v>
      </c>
      <c r="C8" s="19">
        <v>0.14000000000000001</v>
      </c>
      <c r="D8" s="14" t="s">
        <v>70</v>
      </c>
      <c r="E8" s="21">
        <f>0.14</f>
        <v>0.14000000000000001</v>
      </c>
    </row>
    <row r="9" spans="1:8">
      <c r="A9" s="7" t="s">
        <v>78</v>
      </c>
      <c r="B9" s="14" t="s">
        <v>77</v>
      </c>
      <c r="C9" s="31">
        <f>VLOOKUP("Plant A",Freight_Table!B:D,3,FALSE)</f>
        <v>0.09</v>
      </c>
      <c r="D9" s="14" t="s">
        <v>56</v>
      </c>
      <c r="E9" s="21">
        <f>C9</f>
        <v>0.09</v>
      </c>
    </row>
    <row r="10" spans="1:8">
      <c r="A10" s="9" t="s">
        <v>79</v>
      </c>
      <c r="B10" s="14" t="s">
        <v>72</v>
      </c>
      <c r="C10" s="20"/>
      <c r="D10" s="14" t="s">
        <v>70</v>
      </c>
      <c r="E10" s="22">
        <f>E8+E9+E7</f>
        <v>4.3281029206349206</v>
      </c>
    </row>
    <row r="11" spans="1:8">
      <c r="A11" s="7" t="s">
        <v>80</v>
      </c>
      <c r="B11" s="14" t="s">
        <v>81</v>
      </c>
      <c r="C11" s="19">
        <f>VLOOKUP("NET30",Payment_Terms!A:B,2,FALSE)</f>
        <v>2.52E-2</v>
      </c>
      <c r="D11" s="14" t="s">
        <v>49</v>
      </c>
      <c r="E11" s="21">
        <f>E10*C11</f>
        <v>0.1090681936</v>
      </c>
    </row>
    <row r="12" spans="1:8">
      <c r="A12" s="9" t="s">
        <v>82</v>
      </c>
      <c r="B12" s="14" t="s">
        <v>72</v>
      </c>
      <c r="C12" s="7"/>
      <c r="D12" s="14" t="s">
        <v>70</v>
      </c>
      <c r="E12" s="22">
        <f>E10+E11</f>
        <v>4.4371711142349204</v>
      </c>
    </row>
    <row r="14" spans="1:8" ht="20.100000000000001" customHeight="1">
      <c r="A14" s="34" t="s">
        <v>83</v>
      </c>
      <c r="B14" s="35"/>
      <c r="C14" s="35"/>
      <c r="D14" s="35"/>
      <c r="E14" s="35"/>
    </row>
    <row r="15" spans="1:8" ht="15.95">
      <c r="A15" s="10" t="s">
        <v>84</v>
      </c>
      <c r="B15" s="27" t="s">
        <v>72</v>
      </c>
      <c r="C15" s="24">
        <f>SUM(C2:C4)</f>
        <v>0.93</v>
      </c>
      <c r="D15" s="23"/>
      <c r="E15" s="23" t="str">
        <f>IF(ABS(C15-1)&lt;0.0001,"OK","CHECK")</f>
        <v>CHECK</v>
      </c>
    </row>
    <row r="16" spans="1:8" ht="15.95">
      <c r="A16" s="10" t="s">
        <v>85</v>
      </c>
      <c r="B16" s="27"/>
      <c r="C16" s="23" t="str">
        <f>IF(OR(Pricing_Summary!C2="",Pricing_Summary!C3=""),"MISSING","OK")</f>
        <v>OK</v>
      </c>
      <c r="D16" s="23"/>
      <c r="E16" s="11"/>
    </row>
    <row r="17" spans="1:5" ht="15.95">
      <c r="A17" s="10" t="s">
        <v>86</v>
      </c>
      <c r="B17" s="27"/>
      <c r="C17" s="23" t="str">
        <f>IF(Pricing_Summary!D2="","MISSING","OK")</f>
        <v>OK</v>
      </c>
      <c r="D17" s="23"/>
      <c r="E17" s="11"/>
    </row>
  </sheetData>
  <mergeCells count="2">
    <mergeCell ref="G1:H1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pane ySplit="1" topLeftCell="A2" activePane="bottomLeft" state="frozen"/>
      <selection pane="bottomLeft" activeCell="E9" sqref="E9"/>
    </sheetView>
  </sheetViews>
  <sheetFormatPr defaultColWidth="8.85546875" defaultRowHeight="15"/>
  <cols>
    <col min="1" max="1" width="26" customWidth="1"/>
    <col min="2" max="2" width="14" style="13" customWidth="1"/>
    <col min="3" max="3" width="14" customWidth="1"/>
    <col min="4" max="4" width="22" style="13" customWidth="1"/>
    <col min="5" max="5" width="18" customWidth="1"/>
    <col min="7" max="7" width="18" customWidth="1"/>
    <col min="8" max="8" width="13" customWidth="1"/>
  </cols>
  <sheetData>
    <row r="1" spans="1:8" ht="27.95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G1" s="33" t="s">
        <v>24</v>
      </c>
      <c r="H1" s="36"/>
    </row>
    <row r="2" spans="1:8">
      <c r="A2" s="7" t="s">
        <v>87</v>
      </c>
      <c r="B2" s="14" t="s">
        <v>66</v>
      </c>
      <c r="C2" s="19">
        <v>0.38</v>
      </c>
      <c r="D2" s="14" t="s">
        <v>67</v>
      </c>
      <c r="E2" s="21">
        <f>0.38*Pricing_Summary!C2</f>
        <v>1.0336899333333334</v>
      </c>
      <c r="G2" s="6" t="s">
        <v>31</v>
      </c>
      <c r="H2" s="5"/>
    </row>
    <row r="3" spans="1:8">
      <c r="A3" s="7" t="s">
        <v>88</v>
      </c>
      <c r="B3" s="14" t="s">
        <v>66</v>
      </c>
      <c r="C3" s="19">
        <v>0.52</v>
      </c>
      <c r="D3" s="14" t="s">
        <v>68</v>
      </c>
      <c r="E3" s="21">
        <f>0.52*Pricing_Summary!C3</f>
        <v>1.5644355999999999</v>
      </c>
      <c r="G3" s="6" t="s">
        <v>32</v>
      </c>
      <c r="H3" s="7"/>
    </row>
    <row r="4" spans="1:8">
      <c r="A4" s="7" t="s">
        <v>69</v>
      </c>
      <c r="B4" s="14" t="s">
        <v>66</v>
      </c>
      <c r="C4" s="19">
        <v>4.2000000000000003E-2</v>
      </c>
      <c r="D4" s="14" t="s">
        <v>70</v>
      </c>
      <c r="E4" s="21">
        <f>0.042*0.9</f>
        <v>3.78E-2</v>
      </c>
      <c r="G4" s="6" t="s">
        <v>33</v>
      </c>
      <c r="H4" s="8"/>
    </row>
    <row r="5" spans="1:8">
      <c r="A5" s="9" t="s">
        <v>71</v>
      </c>
      <c r="B5" s="14" t="s">
        <v>72</v>
      </c>
      <c r="C5" s="20"/>
      <c r="D5" s="14" t="s">
        <v>70</v>
      </c>
      <c r="E5" s="22">
        <f>SUM(E2:E4)</f>
        <v>2.6359255333333333</v>
      </c>
    </row>
    <row r="6" spans="1:8">
      <c r="A6" s="7" t="s">
        <v>73</v>
      </c>
      <c r="B6" s="14" t="s">
        <v>74</v>
      </c>
      <c r="C6" s="19">
        <v>0.63</v>
      </c>
      <c r="D6" s="14" t="s">
        <v>70</v>
      </c>
      <c r="E6" s="21"/>
    </row>
    <row r="7" spans="1:8">
      <c r="A7" s="9" t="s">
        <v>75</v>
      </c>
      <c r="B7" s="14" t="s">
        <v>72</v>
      </c>
      <c r="C7" s="20"/>
      <c r="D7" s="14" t="s">
        <v>70</v>
      </c>
      <c r="E7" s="22">
        <f>E5/0.63</f>
        <v>4.1840087830687827</v>
      </c>
    </row>
    <row r="8" spans="1:8">
      <c r="A8" s="7" t="s">
        <v>76</v>
      </c>
      <c r="B8" s="14" t="s">
        <v>77</v>
      </c>
      <c r="C8" s="19">
        <v>0.12</v>
      </c>
      <c r="D8" s="14" t="s">
        <v>70</v>
      </c>
      <c r="E8" s="21">
        <f>0.12</f>
        <v>0.12</v>
      </c>
    </row>
    <row r="9" spans="1:8">
      <c r="A9" s="7" t="s">
        <v>78</v>
      </c>
      <c r="B9" s="14" t="s">
        <v>77</v>
      </c>
      <c r="C9" s="31">
        <f>VLOOKUP("Plant B",Freight_Table!B:D,3,FALSE)</f>
        <v>0.11</v>
      </c>
      <c r="D9" s="14" t="s">
        <v>60</v>
      </c>
      <c r="E9" s="21">
        <f>C9</f>
        <v>0.11</v>
      </c>
    </row>
    <row r="10" spans="1:8">
      <c r="A10" s="9" t="s">
        <v>79</v>
      </c>
      <c r="B10" s="14" t="s">
        <v>72</v>
      </c>
      <c r="C10" s="20"/>
      <c r="D10" s="14" t="s">
        <v>70</v>
      </c>
      <c r="E10" s="22">
        <f>E7+E8+E6</f>
        <v>4.3040087830687828</v>
      </c>
    </row>
    <row r="11" spans="1:8">
      <c r="A11" s="7" t="s">
        <v>80</v>
      </c>
      <c r="B11" s="14" t="s">
        <v>81</v>
      </c>
      <c r="C11" s="19">
        <f>VLOOKUP(D11,Payment_Terms!A:B,2,FALSE)</f>
        <v>1.7999999999999999E-2</v>
      </c>
      <c r="D11" s="14" t="s">
        <v>50</v>
      </c>
      <c r="E11" s="21">
        <f>E10*C11</f>
        <v>7.7472158095238081E-2</v>
      </c>
    </row>
    <row r="12" spans="1:8">
      <c r="A12" s="9" t="s">
        <v>82</v>
      </c>
      <c r="B12" s="14" t="s">
        <v>72</v>
      </c>
      <c r="C12" s="20"/>
      <c r="D12" s="14" t="s">
        <v>70</v>
      </c>
      <c r="E12" s="22">
        <f>E10+E11</f>
        <v>4.3814809411640212</v>
      </c>
    </row>
    <row r="14" spans="1:8" ht="20.100000000000001" customHeight="1">
      <c r="A14" s="34" t="s">
        <v>83</v>
      </c>
      <c r="B14" s="35"/>
      <c r="C14" s="35"/>
      <c r="D14" s="35"/>
      <c r="E14" s="35"/>
    </row>
    <row r="15" spans="1:8" ht="15.95">
      <c r="A15" s="10" t="s">
        <v>84</v>
      </c>
      <c r="B15" s="27" t="s">
        <v>72</v>
      </c>
      <c r="C15" s="24">
        <f>SUM(C2:C4)</f>
        <v>0.94200000000000006</v>
      </c>
      <c r="D15" s="23"/>
      <c r="E15" s="23" t="str">
        <f>IF(ABS(C15-1)&lt;0.0001,"OK","CHECK")</f>
        <v>CHECK</v>
      </c>
    </row>
    <row r="16" spans="1:8" ht="15.95">
      <c r="A16" s="10" t="s">
        <v>85</v>
      </c>
      <c r="B16" s="27"/>
      <c r="C16" s="23" t="str">
        <f>IF(OR(Pricing_Summary!C2="",Pricing_Summary!C3=""),"MISSING","OK")</f>
        <v>OK</v>
      </c>
      <c r="D16" s="23"/>
      <c r="E16" s="11"/>
    </row>
    <row r="17" spans="1:5" ht="15.95">
      <c r="A17" s="10" t="s">
        <v>86</v>
      </c>
      <c r="B17" s="27"/>
      <c r="C17" s="23" t="str">
        <f>IF(Pricing_Summary!D2="","MISSING","OK")</f>
        <v>OK</v>
      </c>
      <c r="D17" s="23"/>
      <c r="E17" s="11"/>
    </row>
  </sheetData>
  <mergeCells count="2">
    <mergeCell ref="G1:H1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pane ySplit="1" topLeftCell="A2" activePane="bottomLeft" state="frozen"/>
      <selection pane="bottomLeft" activeCell="C2" sqref="C2"/>
    </sheetView>
  </sheetViews>
  <sheetFormatPr defaultColWidth="8.85546875" defaultRowHeight="15"/>
  <cols>
    <col min="1" max="1" width="16" customWidth="1"/>
    <col min="2" max="2" width="16" style="13" customWidth="1"/>
    <col min="3" max="3" width="22" style="13" customWidth="1"/>
    <col min="4" max="4" width="23" style="13" customWidth="1"/>
    <col min="5" max="5" width="16" customWidth="1"/>
    <col min="7" max="7" width="18" customWidth="1"/>
    <col min="8" max="8" width="13" customWidth="1"/>
  </cols>
  <sheetData>
    <row r="1" spans="1:8" ht="27.95" customHeight="1">
      <c r="A1" s="3" t="s">
        <v>89</v>
      </c>
      <c r="B1" s="3" t="s">
        <v>90</v>
      </c>
      <c r="C1" s="3" t="s">
        <v>91</v>
      </c>
      <c r="D1" s="3" t="s">
        <v>92</v>
      </c>
      <c r="E1" s="3" t="s">
        <v>12</v>
      </c>
      <c r="G1" s="33" t="s">
        <v>24</v>
      </c>
      <c r="H1" s="36"/>
    </row>
    <row r="2" spans="1:8">
      <c r="A2" s="7" t="s">
        <v>93</v>
      </c>
      <c r="B2" s="21">
        <f>Material_A_Pricing!E12</f>
        <v>4.4371711142349204</v>
      </c>
      <c r="C2" s="21">
        <f>Material_A_Pricing!E5</f>
        <v>2.5818048399999998</v>
      </c>
      <c r="D2" s="21">
        <f>Material_A_Pricing!E7</f>
        <v>4.0981029206349202</v>
      </c>
      <c r="E2" s="7" t="s">
        <v>94</v>
      </c>
      <c r="G2" s="6" t="s">
        <v>31</v>
      </c>
      <c r="H2" s="5"/>
    </row>
    <row r="3" spans="1:8">
      <c r="A3" s="7" t="s">
        <v>95</v>
      </c>
      <c r="B3" s="21">
        <f>Material_B_Pricing!E12</f>
        <v>4.3814809411640212</v>
      </c>
      <c r="C3" s="21">
        <f>Material_B_Pricing!E5</f>
        <v>2.6359255333333333</v>
      </c>
      <c r="D3" s="21">
        <f>Material_B_Pricing!E7</f>
        <v>4.1840087830687827</v>
      </c>
      <c r="E3" s="7" t="s">
        <v>94</v>
      </c>
      <c r="G3" s="6" t="s">
        <v>32</v>
      </c>
      <c r="H3" s="7"/>
    </row>
    <row r="4" spans="1:8">
      <c r="G4" s="6" t="s">
        <v>33</v>
      </c>
      <c r="H4" s="8"/>
    </row>
  </sheetData>
  <mergeCells count="1">
    <mergeCell ref="G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pane ySplit="1" topLeftCell="A2" activePane="bottomLeft" state="frozen"/>
      <selection pane="bottomLeft" activeCell="F7" sqref="F7"/>
    </sheetView>
  </sheetViews>
  <sheetFormatPr defaultColWidth="8.85546875" defaultRowHeight="15"/>
  <cols>
    <col min="1" max="1" width="16" customWidth="1"/>
    <col min="2" max="4" width="16" style="13" customWidth="1"/>
    <col min="5" max="5" width="18" customWidth="1"/>
    <col min="6" max="6" width="16" style="13" customWidth="1"/>
    <col min="8" max="8" width="18" customWidth="1"/>
    <col min="9" max="9" width="13" customWidth="1"/>
  </cols>
  <sheetData>
    <row r="1" spans="1:9" ht="27.95" customHeight="1">
      <c r="A1" s="3" t="s">
        <v>17</v>
      </c>
      <c r="B1" s="3" t="s">
        <v>89</v>
      </c>
      <c r="C1" s="3" t="s">
        <v>96</v>
      </c>
      <c r="D1" s="3" t="s">
        <v>97</v>
      </c>
      <c r="E1" s="3" t="s">
        <v>98</v>
      </c>
      <c r="F1" s="3" t="s">
        <v>99</v>
      </c>
      <c r="H1" s="33" t="s">
        <v>24</v>
      </c>
      <c r="I1" s="36"/>
    </row>
    <row r="2" spans="1:9">
      <c r="A2" s="8" t="str">
        <f>Run_Context!A2</f>
        <v>General Mills</v>
      </c>
      <c r="B2" s="25" t="s">
        <v>93</v>
      </c>
      <c r="C2" s="26">
        <v>45778</v>
      </c>
      <c r="D2" s="26">
        <v>45808</v>
      </c>
      <c r="E2" s="21">
        <f>Pricing_Results!B2</f>
        <v>4.4371711142349204</v>
      </c>
      <c r="F2" s="25">
        <v>1</v>
      </c>
      <c r="H2" s="6" t="s">
        <v>31</v>
      </c>
      <c r="I2" s="5"/>
    </row>
    <row r="3" spans="1:9">
      <c r="A3" s="8" t="str">
        <f>Run_Context!A2</f>
        <v>General Mills</v>
      </c>
      <c r="B3" s="25" t="s">
        <v>95</v>
      </c>
      <c r="C3" s="26">
        <v>45778</v>
      </c>
      <c r="D3" s="26">
        <v>45808</v>
      </c>
      <c r="E3" s="21">
        <f>Pricing_Results!B3</f>
        <v>4.3814809411640212</v>
      </c>
      <c r="F3" s="25">
        <v>1</v>
      </c>
      <c r="H3" s="6" t="s">
        <v>32</v>
      </c>
      <c r="I3" s="7"/>
    </row>
    <row r="4" spans="1:9">
      <c r="H4" s="6" t="s">
        <v>33</v>
      </c>
      <c r="I4" s="8"/>
    </row>
  </sheetData>
  <mergeCells count="1">
    <mergeCell ref="H1:I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Shrey Baheti</cp:lastModifiedBy>
  <cp:revision/>
  <dcterms:created xsi:type="dcterms:W3CDTF">2025-12-30T14:50:55Z</dcterms:created>
  <dcterms:modified xsi:type="dcterms:W3CDTF">2026-01-05T13:17:21Z</dcterms:modified>
  <cp:category/>
  <cp:contentStatus/>
</cp:coreProperties>
</file>